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Pivot" sheetId="2" r:id="rId6"/>
    <sheet state="visible" name="Dashboard" sheetId="3" r:id="rId7"/>
  </sheets>
  <definedNames>
    <definedName hidden="1" localSheetId="0" name="_xlnm._FilterDatabase">Data!$N$1:$N$1000</definedName>
    <definedName hidden="1" localSheetId="0" name="Z_09784CDA_B900_42DF_90B5_92EC8C9074D5_.wvu.FilterData">Data!$A$1:$O$25</definedName>
  </definedNames>
  <calcPr/>
  <customWorkbookViews>
    <customWorkbookView activeSheetId="0" maximized="1" windowHeight="0" windowWidth="0" guid="{09784CDA-B900-42DF-90B5-92EC8C9074D5}" name="Filter 1"/>
  </customWorkbookViews>
  <pivotCaches>
    <pivotCache cacheId="0" r:id="rId8"/>
  </pivotCaches>
</workbook>
</file>

<file path=xl/sharedStrings.xml><?xml version="1.0" encoding="utf-8"?>
<sst xmlns="http://schemas.openxmlformats.org/spreadsheetml/2006/main" count="172" uniqueCount="70">
  <si>
    <t>City</t>
  </si>
  <si>
    <t>Sales Manager</t>
  </si>
  <si>
    <t>Brand</t>
  </si>
  <si>
    <t>Sales PY (2023)</t>
  </si>
  <si>
    <t>Cost PY</t>
  </si>
  <si>
    <t>Profit PY</t>
  </si>
  <si>
    <t>Sales (2024)</t>
  </si>
  <si>
    <t>Cost</t>
  </si>
  <si>
    <t>Profit (2024)</t>
  </si>
  <si>
    <t>Date</t>
  </si>
  <si>
    <t>Country</t>
  </si>
  <si>
    <t>Females</t>
  </si>
  <si>
    <t>Males</t>
  </si>
  <si>
    <t>Notes</t>
  </si>
  <si>
    <t>Month</t>
  </si>
  <si>
    <t>New York</t>
  </si>
  <si>
    <t>Olivia Rodrigo</t>
  </si>
  <si>
    <t>Nike</t>
  </si>
  <si>
    <t>USA</t>
  </si>
  <si>
    <t>High demand</t>
  </si>
  <si>
    <t>Jan</t>
  </si>
  <si>
    <t>Chicago</t>
  </si>
  <si>
    <t>Ed Sheeran</t>
  </si>
  <si>
    <t>Amazon</t>
  </si>
  <si>
    <t>Sold out</t>
  </si>
  <si>
    <t>London</t>
  </si>
  <si>
    <t>Harry Styles</t>
  </si>
  <si>
    <t>Coca Cola</t>
  </si>
  <si>
    <t>UK</t>
  </si>
  <si>
    <t>Good response</t>
  </si>
  <si>
    <t>Manchester</t>
  </si>
  <si>
    <t>Drake</t>
  </si>
  <si>
    <t>Puma</t>
  </si>
  <si>
    <t>Full house</t>
  </si>
  <si>
    <t>Mumbai</t>
  </si>
  <si>
    <t>Shreya Ghoshal</t>
  </si>
  <si>
    <t>Tata</t>
  </si>
  <si>
    <t>India</t>
  </si>
  <si>
    <t>Massive hit</t>
  </si>
  <si>
    <t>Delhi</t>
  </si>
  <si>
    <t>Badshah</t>
  </si>
  <si>
    <t>Reliance</t>
  </si>
  <si>
    <t>Top performance</t>
  </si>
  <si>
    <t>Adidas</t>
  </si>
  <si>
    <t>Record sales</t>
  </si>
  <si>
    <t>Feb</t>
  </si>
  <si>
    <t>Samsung</t>
  </si>
  <si>
    <t>Strong growth</t>
  </si>
  <si>
    <t>Spotify</t>
  </si>
  <si>
    <t>Trending</t>
  </si>
  <si>
    <t>Apple</t>
  </si>
  <si>
    <t>Good sales</t>
  </si>
  <si>
    <t>High response</t>
  </si>
  <si>
    <t>Stable growth</t>
  </si>
  <si>
    <t>Mar</t>
  </si>
  <si>
    <t>Positive</t>
  </si>
  <si>
    <t>Strong demand</t>
  </si>
  <si>
    <t>High bookings</t>
  </si>
  <si>
    <t>Strong sales</t>
  </si>
  <si>
    <t>Good turnout</t>
  </si>
  <si>
    <t>Apr</t>
  </si>
  <si>
    <t>Moderate</t>
  </si>
  <si>
    <t>Stable</t>
  </si>
  <si>
    <t>Growing</t>
  </si>
  <si>
    <t>SUM of Sales (2024)</t>
  </si>
  <si>
    <t>SUM of Profit (2024)</t>
  </si>
  <si>
    <t>SUM of Males</t>
  </si>
  <si>
    <t>SUM of Females</t>
  </si>
  <si>
    <t>Sales Profit Dashboard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</si>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</sst>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"/>
    <numFmt numFmtId="165" formatCode="&quot;$&quot;#,##0.00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33.0"/>
      <color theme="1"/>
      <name val="Arial"/>
      <scheme val="minor"/>
    </font>
    <font>
      <sz val="19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0" fontId="1" numFmtId="3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0" fillId="0" fontId="3" numFmtId="3" xfId="0" applyFont="1" applyNumberFormat="1"/>
    <xf borderId="0" fillId="2" fontId="4" numFmtId="0" xfId="0" applyAlignment="1" applyFill="1" applyFont="1">
      <alignment horizontal="center" readingOrder="0"/>
    </xf>
    <xf borderId="0" fillId="3" fontId="3" numFmtId="0" xfId="0" applyFill="1" applyFont="1"/>
    <xf borderId="0" fillId="3" fontId="5" numFmtId="0" xfId="0" applyAlignment="1" applyFill="1" applyFont="1">
      <alignment horizontal="center" readingOrder="0"/>
    </xf>
    <xf borderId="0" fillId="3" fontId="3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757575"/>
                </a:solidFill>
                <a:latin typeface="+mn-lt"/>
              </a:defRPr>
            </a:pPr>
            <a:r>
              <a:rPr b="0" sz="2400">
                <a:solidFill>
                  <a:srgbClr val="757575"/>
                </a:solidFill>
                <a:latin typeface="+mn-lt"/>
              </a:rPr>
              <a:t>Male vs Female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Pivot!$E$1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Pivot!$E$2</c:f>
              <c:numCache/>
            </c:numRef>
          </c:val>
        </c:ser>
        <c:ser>
          <c:idx val="1"/>
          <c:order val="1"/>
          <c:tx>
            <c:strRef>
              <c:f>Pivot!$F$1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Pivot!$F$2</c:f>
              <c:numCache/>
            </c:numRef>
          </c:val>
        </c:ser>
        <c:axId val="1824036219"/>
        <c:axId val="1240430535"/>
      </c:barChart>
      <c:catAx>
        <c:axId val="1824036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0430535"/>
      </c:catAx>
      <c:valAx>
        <c:axId val="1240430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,&quot;K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40362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Chart3.png"/><Relationship Id="rId3" Type="http://schemas.openxmlformats.org/officeDocument/2006/relationships/image" Target="../media/Chart4.png"/><Relationship Id="rId4" Type="http://schemas.openxmlformats.org/officeDocument/2006/relationships/image" Target="../media/Chart5.png"/><Relationship Id="rId5" Type="http://schemas.openxmlformats.org/officeDocument/2006/relationships/image" Target="../media/Chart6.png"/><Relationship Id="rId6" Type="http://schemas.openxmlformats.org/officeDocument/2006/relationships/image" Target="../media/Chart7.png"/><Relationship Id="rId7" Type="http://schemas.openxmlformats.org/officeDocument/2006/relationships/image" Target="../media/Chart8.png"/><Relationship Id="rId8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8</xdr:row>
      <xdr:rowOff>95250</xdr:rowOff>
    </xdr:from>
    <xdr:ext cx="5715000" cy="1771650"/>
    <xdr:pic>
      <xdr:nvPicPr>
        <xdr:cNvPr id="23218570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5</xdr:row>
      <xdr:rowOff>142875</xdr:rowOff>
    </xdr:from>
    <xdr:ext cx="1447800" cy="638175"/>
    <xdr:pic>
      <xdr:nvPicPr>
        <xdr:cNvPr id="48320535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12</xdr:row>
      <xdr:rowOff>190500</xdr:rowOff>
    </xdr:from>
    <xdr:ext cx="1447800" cy="638175"/>
    <xdr:pic>
      <xdr:nvPicPr>
        <xdr:cNvPr id="1616163414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9</xdr:row>
      <xdr:rowOff>95250</xdr:rowOff>
    </xdr:from>
    <xdr:ext cx="1447800" cy="638175"/>
    <xdr:pic>
      <xdr:nvPicPr>
        <xdr:cNvPr id="1677891135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742950</xdr:colOff>
      <xdr:row>5</xdr:row>
      <xdr:rowOff>133350</xdr:rowOff>
    </xdr:from>
    <xdr:ext cx="4410075" cy="2019300"/>
    <xdr:pic>
      <xdr:nvPicPr>
        <xdr:cNvPr id="916088159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16</xdr:row>
      <xdr:rowOff>95250</xdr:rowOff>
    </xdr:from>
    <xdr:ext cx="6486525" cy="2047875"/>
    <xdr:pic>
      <xdr:nvPicPr>
        <xdr:cNvPr id="1739146761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885825</xdr:colOff>
      <xdr:row>15</xdr:row>
      <xdr:rowOff>9525</xdr:rowOff>
    </xdr:from>
    <xdr:ext cx="2828925" cy="2324100"/>
    <xdr:pic>
      <xdr:nvPicPr>
        <xdr:cNvPr id="1881855741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485775</xdr:colOff>
      <xdr:row>5</xdr:row>
      <xdr:rowOff>152400</xdr:rowOff>
    </xdr:from>
    <xdr:ext cx="6400800" cy="1714500"/>
    <xdr:pic>
      <xdr:nvPicPr>
        <xdr:cNvPr id="723502748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895350</xdr:colOff>
      <xdr:row>15</xdr:row>
      <xdr:rowOff>19050</xdr:rowOff>
    </xdr:from>
    <xdr:ext cx="3067050" cy="23241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25" sheet="Data"/>
  </cacheSource>
  <cacheFields>
    <cacheField name="City" numFmtId="0">
      <sharedItems>
        <s v="New York"/>
        <s v="Chicago"/>
        <s v="London"/>
        <s v="Manchester"/>
        <s v="Mumbai"/>
        <s v="Delhi"/>
      </sharedItems>
    </cacheField>
    <cacheField name="Sales Manager" numFmtId="0">
      <sharedItems>
        <s v="Olivia Rodrigo"/>
        <s v="Ed Sheeran"/>
        <s v="Harry Styles"/>
        <s v="Drake"/>
        <s v="Shreya Ghoshal"/>
        <s v="Badshah"/>
      </sharedItems>
    </cacheField>
    <cacheField name="Brand" numFmtId="0">
      <sharedItems>
        <s v="Nike"/>
        <s v="Amazon"/>
        <s v="Coca Cola"/>
        <s v="Puma"/>
        <s v="Tata"/>
        <s v="Reliance"/>
        <s v="Adidas"/>
        <s v="Samsung"/>
        <s v="Spotify"/>
        <s v="Apple"/>
      </sharedItems>
    </cacheField>
    <cacheField name="Sales PY (2023)" numFmtId="3">
      <sharedItems containsSemiMixedTypes="0" containsString="0" containsNumber="1" containsInteger="1">
        <n v="45000.0"/>
        <n v="38000.0"/>
        <n v="55000.0"/>
        <n v="62000.0"/>
        <n v="72000.0"/>
        <n v="68000.0"/>
        <n v="50000.0"/>
        <n v="47000.0"/>
        <n v="41000.0"/>
        <n v="65000.0"/>
        <n v="48000.0"/>
        <n v="42000.0"/>
        <n v="56000.0"/>
        <n v="60000.0"/>
        <n v="39000.0"/>
        <n v="35000.0"/>
        <n v="71000.0"/>
        <n v="67000.0"/>
      </sharedItems>
    </cacheField>
    <cacheField name="Cost PY" numFmtId="3">
      <sharedItems containsSemiMixedTypes="0" containsString="0" containsNumber="1" containsInteger="1">
        <n v="32000.0"/>
        <n v="27000.0"/>
        <n v="39000.0"/>
        <n v="45000.0"/>
        <n v="65000.0"/>
        <n v="63000.0"/>
        <n v="51000.0"/>
        <n v="35000.0"/>
        <n v="33000.0"/>
        <n v="29000.0"/>
        <n v="61000.0"/>
        <n v="47000.0"/>
        <n v="34000.0"/>
        <n v="30000.0"/>
        <n v="43000.0"/>
        <n v="40000.0"/>
        <n v="56000.0"/>
        <n v="52000.0"/>
        <n v="28000.0"/>
        <n v="42000.0"/>
        <n v="48000.0"/>
      </sharedItems>
    </cacheField>
    <cacheField name="Profit PY" numFmtId="3">
      <sharedItems containsSemiMixedTypes="0" containsString="0" containsNumber="1" containsInteger="1">
        <n v="13000.0"/>
        <n v="11000.0"/>
        <n v="16000.0"/>
        <n v="17000.0"/>
        <n v="27000.0"/>
        <n v="25000.0"/>
        <n v="21000.0"/>
        <n v="15000.0"/>
        <n v="14000.0"/>
        <n v="12000.0"/>
        <n v="24000.0"/>
        <n v="18000.0"/>
        <n v="22000.0"/>
        <n v="20000.0"/>
        <n v="26000.0"/>
        <n v="19000.0"/>
      </sharedItems>
    </cacheField>
    <cacheField name="Sales (2024)" numFmtId="3">
      <sharedItems containsSemiMixedTypes="0" containsString="0" containsNumber="1" containsInteger="1">
        <n v="52000.0"/>
        <n v="46000.0"/>
        <n v="60000.0"/>
        <n v="70000.0"/>
        <n v="110000.0"/>
        <n v="99000.0"/>
        <n v="85000.0"/>
        <n v="62000.0"/>
        <n v="48000.0"/>
        <n v="98000.0"/>
        <n v="74000.0"/>
        <n v="55000.0"/>
        <n v="50000.0"/>
        <n v="68000.0"/>
        <n v="63000.0"/>
        <n v="89000.0"/>
        <n v="81000.0"/>
        <n v="67000.0"/>
        <n v="47000.0"/>
        <n v="64000.0"/>
        <n v="105000.0"/>
        <n v="76000.0"/>
      </sharedItems>
    </cacheField>
    <cacheField name="Cost" numFmtId="3">
      <sharedItems containsSemiMixedTypes="0" containsString="0" containsNumber="1" containsInteger="1">
        <n v="36000.0"/>
        <n v="32000.0"/>
        <n v="42000.0"/>
        <n v="50000.0"/>
        <n v="76000.0"/>
        <n v="70000.0"/>
        <n v="60000.0"/>
        <n v="43000.0"/>
        <n v="33000.0"/>
        <n v="69000.0"/>
        <n v="52000.0"/>
        <n v="38000.0"/>
        <n v="35000.0"/>
        <n v="47000.0"/>
        <n v="44000.0"/>
        <n v="63000.0"/>
        <n v="58000.0"/>
        <n v="45000.0"/>
        <n v="37000.0"/>
        <n v="74000.0"/>
        <n v="54000.0"/>
      </sharedItems>
    </cacheField>
    <cacheField name="Profit (2024)" numFmtId="3">
      <sharedItems containsSemiMixedTypes="0" containsString="0" containsNumber="1" containsInteger="1">
        <n v="16000.0"/>
        <n v="14000.0"/>
        <n v="18000.0"/>
        <n v="20000.0"/>
        <n v="34000.0"/>
        <n v="29000.0"/>
        <n v="25000.0"/>
        <n v="19000.0"/>
        <n v="15000.0"/>
        <n v="22000.0"/>
        <n v="17000.0"/>
        <n v="21000.0"/>
        <n v="26000.0"/>
        <n v="23000.0"/>
        <n v="31000.0"/>
      </sharedItems>
    </cacheField>
    <cacheField name="Date" numFmtId="164">
      <sharedItems containsSemiMixedTypes="0" containsDate="1" containsString="0">
        <d v="2024-01-12T00:00:00Z"/>
        <d v="2024-01-15T00:00:00Z"/>
        <d v="2024-01-18T00:00:00Z"/>
        <d v="2024-01-22T00:00:00Z"/>
        <d v="2024-01-25T00:00:00Z"/>
        <d v="2024-01-28T00:00:00Z"/>
        <d v="2024-02-05T00:00:00Z"/>
        <d v="2024-02-08T00:00:00Z"/>
        <d v="2024-02-10T00:00:00Z"/>
        <d v="2024-02-14T00:00:00Z"/>
        <d v="2024-02-18T00:00:00Z"/>
        <d v="2024-02-22T00:00:00Z"/>
        <d v="2024-03-05T00:00:00Z"/>
        <d v="2024-03-08T00:00:00Z"/>
        <d v="2024-03-12T00:00:00Z"/>
        <d v="2024-03-15T00:00:00Z"/>
        <d v="2024-03-20T00:00:00Z"/>
        <d v="2024-03-25T00:00:00Z"/>
        <d v="2024-04-05T00:00:00Z"/>
        <d v="2024-04-09T00:00:00Z"/>
        <d v="2024-04-12T00:00:00Z"/>
        <d v="2024-04-15T00:00:00Z"/>
        <d v="2024-04-20T00:00:00Z"/>
        <d v="2024-04-25T00:00:00Z"/>
      </sharedItems>
    </cacheField>
    <cacheField name="Country" numFmtId="0">
      <sharedItems>
        <s v="USA"/>
        <s v="UK"/>
        <s v="India"/>
      </sharedItems>
    </cacheField>
    <cacheField name="Females" numFmtId="3">
      <sharedItems containsSemiMixedTypes="0" containsString="0" containsNumber="1" containsInteger="1">
        <n v="22000.0"/>
        <n v="20000.0"/>
        <n v="30000.0"/>
        <n v="33000.0"/>
        <n v="60000.0"/>
        <n v="52000.0"/>
        <n v="40000.0"/>
        <n v="28000.0"/>
        <n v="26000.0"/>
        <n v="25000.0"/>
        <n v="50000.0"/>
        <n v="37000.0"/>
        <n v="35000.0"/>
        <n v="24000.0"/>
        <n v="47000.0"/>
        <n v="31000.0"/>
        <n v="43000.0"/>
      </sharedItems>
    </cacheField>
    <cacheField name="Males" numFmtId="3">
      <sharedItems containsSemiMixedTypes="0" containsString="0" containsNumber="1" containsInteger="1">
        <n v="30000.0"/>
        <n v="26000.0"/>
        <n v="37000.0"/>
        <n v="50000.0"/>
        <n v="47000.0"/>
        <n v="45000.0"/>
        <n v="34000.0"/>
        <n v="23000.0"/>
        <n v="48000.0"/>
        <n v="29000.0"/>
        <n v="33000.0"/>
        <n v="32000.0"/>
        <n v="42000.0"/>
        <n v="38000.0"/>
        <n v="15000.0"/>
        <n v="24000.0"/>
        <n v="10000.0"/>
        <n v="17000.0"/>
      </sharedItems>
    </cacheField>
    <cacheField name="Notes" numFmtId="0">
      <sharedItems>
        <s v="High demand"/>
        <s v="Sold out"/>
        <s v="Good response"/>
        <s v="Full house"/>
        <s v="Massive hit"/>
        <s v="Top performance"/>
        <s v="Record sales"/>
        <s v="Strong growth"/>
        <s v="Trending"/>
        <s v="Good sales"/>
        <s v="High response"/>
        <s v="Stable growth"/>
        <s v="Positive"/>
        <s v="Strong demand"/>
        <s v="High bookings"/>
        <s v="Strong sales"/>
        <s v="Good turnout"/>
        <s v="Moderate"/>
        <s v="Stable"/>
        <s v="Growing"/>
      </sharedItems>
    </cacheField>
    <cacheField name="Month" numFmtId="0">
      <sharedItems>
        <s v="Jan"/>
        <s v="Feb"/>
        <s v="Mar"/>
        <s v="Ap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0" dataCaption="" rowGrandTotals="0" compact="0" compactData="0">
  <location ref="A1:C7" firstHeaderRow="0" firstDataRow="2" firstDataCol="0"/>
  <pivotFields>
    <pivotField name="C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les Manager" axis="axisRow" compact="0" outline="0" multipleItemSelectionAllowed="1" showAll="0" sortType="descending">
      <items>
        <item x="4"/>
        <item x="0"/>
        <item x="2"/>
        <item x="1"/>
        <item x="3"/>
        <item x="5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 PY (2023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ost P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rofit P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ales (2024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s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rofit (2024)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ountry" compact="0" outline="0" multipleItemSelectionAllowed="1" showAll="0">
      <items>
        <item x="0"/>
        <item x="1"/>
        <item x="2"/>
        <item t="default"/>
      </items>
    </pivotField>
    <pivotField name="Female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le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colFields>
    <field x="-2"/>
  </colFields>
  <dataFields>
    <dataField name="SUM of Sales (2024)" fld="6" baseField="0"/>
    <dataField name="SUM of Profit (2024)" fld="8" baseField="0"/>
  </dataFields>
</pivotTableDefinition>
</file>

<file path=xl/pivotTables/pivotTable2.xml><?xml version="1.0" encoding="utf-8"?>
<pivotTableDefinition xmlns="http://schemas.openxmlformats.org/spreadsheetml/2006/main" name="Pivot 2" cacheId="0" dataCaption="" compact="0" compactData="0">
  <location ref="E1:F2" firstHeaderRow="0" firstDataRow="1" firstDataCol="0"/>
  <pivotFields>
    <pivotField name="C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les Manag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ales PY (2023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ost P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rofit PY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ales (2024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s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rofit (2024)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ountry" compact="0" outline="0" multipleItemSelectionAllowed="1" showAll="0">
      <items>
        <item x="0"/>
        <item x="1"/>
        <item x="2"/>
        <item t="default"/>
      </items>
    </pivotField>
    <pivotField name="Femal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ale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t="default"/>
      </items>
    </pivotField>
  </pivotFields>
  <colFields>
    <field x="-2"/>
  </colFields>
  <dataFields>
    <dataField name="SUM of Males" fld="12" baseField="0"/>
    <dataField name="SUM of Females" fld="1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4" t="s">
        <v>15</v>
      </c>
      <c r="B2" s="4" t="s">
        <v>16</v>
      </c>
      <c r="C2" s="4" t="s">
        <v>17</v>
      </c>
      <c r="D2" s="5">
        <v>45000.0</v>
      </c>
      <c r="E2" s="5">
        <v>32000.0</v>
      </c>
      <c r="F2" s="5">
        <v>13000.0</v>
      </c>
      <c r="G2" s="5">
        <v>52000.0</v>
      </c>
      <c r="H2" s="5">
        <v>36000.0</v>
      </c>
      <c r="I2" s="5">
        <v>16000.0</v>
      </c>
      <c r="J2" s="6">
        <v>45303.0</v>
      </c>
      <c r="K2" s="4" t="s">
        <v>18</v>
      </c>
      <c r="L2" s="5">
        <v>22000.0</v>
      </c>
      <c r="M2" s="5">
        <v>30000.0</v>
      </c>
      <c r="N2" s="4" t="s">
        <v>19</v>
      </c>
      <c r="O2" s="4" t="s">
        <v>20</v>
      </c>
    </row>
    <row r="3" ht="15.75" customHeight="1">
      <c r="A3" s="4" t="s">
        <v>21</v>
      </c>
      <c r="B3" s="4" t="s">
        <v>22</v>
      </c>
      <c r="C3" s="4" t="s">
        <v>23</v>
      </c>
      <c r="D3" s="5">
        <v>38000.0</v>
      </c>
      <c r="E3" s="5">
        <v>27000.0</v>
      </c>
      <c r="F3" s="5">
        <v>11000.0</v>
      </c>
      <c r="G3" s="5">
        <v>46000.0</v>
      </c>
      <c r="H3" s="5">
        <v>32000.0</v>
      </c>
      <c r="I3" s="5">
        <v>14000.0</v>
      </c>
      <c r="J3" s="6">
        <v>45306.0</v>
      </c>
      <c r="K3" s="4" t="s">
        <v>18</v>
      </c>
      <c r="L3" s="5">
        <v>20000.0</v>
      </c>
      <c r="M3" s="5">
        <v>26000.0</v>
      </c>
      <c r="N3" s="4" t="s">
        <v>24</v>
      </c>
      <c r="O3" s="4" t="s">
        <v>20</v>
      </c>
    </row>
    <row r="4" ht="15.75" customHeight="1">
      <c r="A4" s="4" t="s">
        <v>25</v>
      </c>
      <c r="B4" s="4" t="s">
        <v>26</v>
      </c>
      <c r="C4" s="4" t="s">
        <v>27</v>
      </c>
      <c r="D4" s="5">
        <v>55000.0</v>
      </c>
      <c r="E4" s="5">
        <v>39000.0</v>
      </c>
      <c r="F4" s="5">
        <v>16000.0</v>
      </c>
      <c r="G4" s="5">
        <v>60000.0</v>
      </c>
      <c r="H4" s="5">
        <v>42000.0</v>
      </c>
      <c r="I4" s="5">
        <v>18000.0</v>
      </c>
      <c r="J4" s="6">
        <v>45309.0</v>
      </c>
      <c r="K4" s="4" t="s">
        <v>28</v>
      </c>
      <c r="L4" s="5">
        <v>30000.0</v>
      </c>
      <c r="M4" s="5">
        <v>30000.0</v>
      </c>
      <c r="N4" s="4" t="s">
        <v>29</v>
      </c>
      <c r="O4" s="4" t="s">
        <v>20</v>
      </c>
    </row>
    <row r="5" ht="15.75" customHeight="1">
      <c r="A5" s="4" t="s">
        <v>30</v>
      </c>
      <c r="B5" s="4" t="s">
        <v>31</v>
      </c>
      <c r="C5" s="4" t="s">
        <v>32</v>
      </c>
      <c r="D5" s="5">
        <v>62000.0</v>
      </c>
      <c r="E5" s="5">
        <v>45000.0</v>
      </c>
      <c r="F5" s="5">
        <v>17000.0</v>
      </c>
      <c r="G5" s="5">
        <v>70000.0</v>
      </c>
      <c r="H5" s="5">
        <v>50000.0</v>
      </c>
      <c r="I5" s="5">
        <v>20000.0</v>
      </c>
      <c r="J5" s="6">
        <v>45313.0</v>
      </c>
      <c r="K5" s="4" t="s">
        <v>28</v>
      </c>
      <c r="L5" s="5">
        <v>33000.0</v>
      </c>
      <c r="M5" s="5">
        <v>37000.0</v>
      </c>
      <c r="N5" s="4" t="s">
        <v>33</v>
      </c>
      <c r="O5" s="4" t="s">
        <v>20</v>
      </c>
    </row>
    <row r="6" ht="15.75" customHeight="1">
      <c r="A6" s="4" t="s">
        <v>34</v>
      </c>
      <c r="B6" s="4" t="s">
        <v>35</v>
      </c>
      <c r="C6" s="4" t="s">
        <v>36</v>
      </c>
      <c r="D6" s="5">
        <v>72000.0</v>
      </c>
      <c r="E6" s="5">
        <v>65000.0</v>
      </c>
      <c r="F6" s="5">
        <v>27000.0</v>
      </c>
      <c r="G6" s="5">
        <v>110000.0</v>
      </c>
      <c r="H6" s="5">
        <v>76000.0</v>
      </c>
      <c r="I6" s="5">
        <v>34000.0</v>
      </c>
      <c r="J6" s="6">
        <v>45316.0</v>
      </c>
      <c r="K6" s="4" t="s">
        <v>37</v>
      </c>
      <c r="L6" s="5">
        <v>60000.0</v>
      </c>
      <c r="M6" s="5">
        <v>50000.0</v>
      </c>
      <c r="N6" s="4" t="s">
        <v>38</v>
      </c>
      <c r="O6" s="4" t="s">
        <v>20</v>
      </c>
    </row>
    <row r="7" ht="15.75" customHeight="1">
      <c r="A7" s="4" t="s">
        <v>39</v>
      </c>
      <c r="B7" s="4" t="s">
        <v>40</v>
      </c>
      <c r="C7" s="4" t="s">
        <v>41</v>
      </c>
      <c r="D7" s="5">
        <v>68000.0</v>
      </c>
      <c r="E7" s="5">
        <v>63000.0</v>
      </c>
      <c r="F7" s="5">
        <v>25000.0</v>
      </c>
      <c r="G7" s="5">
        <v>99000.0</v>
      </c>
      <c r="H7" s="5">
        <v>70000.0</v>
      </c>
      <c r="I7" s="5">
        <v>29000.0</v>
      </c>
      <c r="J7" s="6">
        <v>45319.0</v>
      </c>
      <c r="K7" s="4" t="s">
        <v>37</v>
      </c>
      <c r="L7" s="5">
        <v>52000.0</v>
      </c>
      <c r="M7" s="5">
        <v>47000.0</v>
      </c>
      <c r="N7" s="4" t="s">
        <v>42</v>
      </c>
      <c r="O7" s="4" t="s">
        <v>20</v>
      </c>
    </row>
    <row r="8" ht="15.75" customHeight="1">
      <c r="A8" s="4" t="s">
        <v>15</v>
      </c>
      <c r="B8" s="4" t="s">
        <v>16</v>
      </c>
      <c r="C8" s="4" t="s">
        <v>43</v>
      </c>
      <c r="D8" s="5">
        <v>72000.0</v>
      </c>
      <c r="E8" s="5">
        <v>51000.0</v>
      </c>
      <c r="F8" s="5">
        <v>21000.0</v>
      </c>
      <c r="G8" s="5">
        <v>85000.0</v>
      </c>
      <c r="H8" s="5">
        <v>60000.0</v>
      </c>
      <c r="I8" s="5">
        <v>25000.0</v>
      </c>
      <c r="J8" s="6">
        <v>45327.0</v>
      </c>
      <c r="K8" s="4" t="s">
        <v>18</v>
      </c>
      <c r="L8" s="5">
        <v>40000.0</v>
      </c>
      <c r="M8" s="5">
        <v>45000.0</v>
      </c>
      <c r="N8" s="4" t="s">
        <v>44</v>
      </c>
      <c r="O8" s="4" t="s">
        <v>45</v>
      </c>
    </row>
    <row r="9" ht="15.75" customHeight="1">
      <c r="A9" s="4" t="s">
        <v>21</v>
      </c>
      <c r="B9" s="4" t="s">
        <v>22</v>
      </c>
      <c r="C9" s="4" t="s">
        <v>46</v>
      </c>
      <c r="D9" s="5">
        <v>50000.0</v>
      </c>
      <c r="E9" s="5">
        <v>35000.0</v>
      </c>
      <c r="F9" s="5">
        <v>15000.0</v>
      </c>
      <c r="G9" s="5">
        <v>62000.0</v>
      </c>
      <c r="H9" s="5">
        <v>43000.0</v>
      </c>
      <c r="I9" s="5">
        <v>19000.0</v>
      </c>
      <c r="J9" s="6">
        <v>45330.0</v>
      </c>
      <c r="K9" s="4" t="s">
        <v>18</v>
      </c>
      <c r="L9" s="5">
        <v>28000.0</v>
      </c>
      <c r="M9" s="5">
        <v>34000.0</v>
      </c>
      <c r="N9" s="4" t="s">
        <v>47</v>
      </c>
      <c r="O9" s="4" t="s">
        <v>45</v>
      </c>
    </row>
    <row r="10" ht="15.75" customHeight="1">
      <c r="A10" s="4" t="s">
        <v>25</v>
      </c>
      <c r="B10" s="4" t="s">
        <v>26</v>
      </c>
      <c r="C10" s="4" t="s">
        <v>48</v>
      </c>
      <c r="D10" s="5">
        <v>47000.0</v>
      </c>
      <c r="E10" s="5">
        <v>33000.0</v>
      </c>
      <c r="F10" s="5">
        <v>14000.0</v>
      </c>
      <c r="G10" s="5">
        <v>52000.0</v>
      </c>
      <c r="H10" s="5">
        <v>36000.0</v>
      </c>
      <c r="I10" s="5">
        <v>16000.0</v>
      </c>
      <c r="J10" s="6">
        <v>45332.0</v>
      </c>
      <c r="K10" s="4" t="s">
        <v>28</v>
      </c>
      <c r="L10" s="5">
        <v>26000.0</v>
      </c>
      <c r="M10" s="5">
        <v>26000.0</v>
      </c>
      <c r="N10" s="4" t="s">
        <v>49</v>
      </c>
      <c r="O10" s="4" t="s">
        <v>45</v>
      </c>
    </row>
    <row r="11" ht="15.75" customHeight="1">
      <c r="A11" s="4" t="s">
        <v>30</v>
      </c>
      <c r="B11" s="4" t="s">
        <v>31</v>
      </c>
      <c r="C11" s="4" t="s">
        <v>50</v>
      </c>
      <c r="D11" s="5">
        <v>41000.0</v>
      </c>
      <c r="E11" s="5">
        <v>29000.0</v>
      </c>
      <c r="F11" s="5">
        <v>12000.0</v>
      </c>
      <c r="G11" s="5">
        <v>48000.0</v>
      </c>
      <c r="H11" s="5">
        <v>33000.0</v>
      </c>
      <c r="I11" s="5">
        <v>15000.0</v>
      </c>
      <c r="J11" s="6">
        <v>45336.0</v>
      </c>
      <c r="K11" s="4" t="s">
        <v>28</v>
      </c>
      <c r="L11" s="5">
        <v>25000.0</v>
      </c>
      <c r="M11" s="5">
        <v>23000.0</v>
      </c>
      <c r="N11" s="4" t="s">
        <v>51</v>
      </c>
      <c r="O11" s="4" t="s">
        <v>45</v>
      </c>
    </row>
    <row r="12" ht="15.75" customHeight="1">
      <c r="A12" s="4" t="s">
        <v>34</v>
      </c>
      <c r="B12" s="4" t="s">
        <v>35</v>
      </c>
      <c r="C12" s="4" t="s">
        <v>36</v>
      </c>
      <c r="D12" s="5">
        <v>55000.0</v>
      </c>
      <c r="E12" s="5">
        <v>61000.0</v>
      </c>
      <c r="F12" s="5">
        <v>24000.0</v>
      </c>
      <c r="G12" s="5">
        <v>98000.0</v>
      </c>
      <c r="H12" s="5">
        <v>69000.0</v>
      </c>
      <c r="I12" s="5">
        <v>29000.0</v>
      </c>
      <c r="J12" s="6">
        <v>45340.0</v>
      </c>
      <c r="K12" s="4" t="s">
        <v>37</v>
      </c>
      <c r="L12" s="5">
        <v>50000.0</v>
      </c>
      <c r="M12" s="5">
        <v>48000.0</v>
      </c>
      <c r="N12" s="4" t="s">
        <v>24</v>
      </c>
      <c r="O12" s="4" t="s">
        <v>45</v>
      </c>
    </row>
    <row r="13" ht="15.75" customHeight="1">
      <c r="A13" s="4" t="s">
        <v>39</v>
      </c>
      <c r="B13" s="4" t="s">
        <v>40</v>
      </c>
      <c r="C13" s="4" t="s">
        <v>41</v>
      </c>
      <c r="D13" s="5">
        <v>65000.0</v>
      </c>
      <c r="E13" s="5">
        <v>47000.0</v>
      </c>
      <c r="F13" s="5">
        <v>18000.0</v>
      </c>
      <c r="G13" s="5">
        <v>74000.0</v>
      </c>
      <c r="H13" s="5">
        <v>52000.0</v>
      </c>
      <c r="I13" s="5">
        <v>22000.0</v>
      </c>
      <c r="J13" s="6">
        <v>45344.0</v>
      </c>
      <c r="K13" s="4" t="s">
        <v>37</v>
      </c>
      <c r="L13" s="5">
        <v>37000.0</v>
      </c>
      <c r="M13" s="5">
        <v>37000.0</v>
      </c>
      <c r="N13" s="4" t="s">
        <v>52</v>
      </c>
      <c r="O13" s="4" t="s">
        <v>45</v>
      </c>
    </row>
    <row r="14" ht="15.75" customHeight="1">
      <c r="A14" s="4" t="s">
        <v>15</v>
      </c>
      <c r="B14" s="4" t="s">
        <v>16</v>
      </c>
      <c r="C14" s="4" t="s">
        <v>17</v>
      </c>
      <c r="D14" s="5">
        <v>48000.0</v>
      </c>
      <c r="E14" s="5">
        <v>34000.0</v>
      </c>
      <c r="F14" s="5">
        <v>14000.0</v>
      </c>
      <c r="G14" s="5">
        <v>55000.0</v>
      </c>
      <c r="H14" s="5">
        <v>38000.0</v>
      </c>
      <c r="I14" s="5">
        <v>17000.0</v>
      </c>
      <c r="J14" s="6">
        <v>45356.0</v>
      </c>
      <c r="K14" s="4" t="s">
        <v>18</v>
      </c>
      <c r="L14" s="7">
        <v>35000.0</v>
      </c>
      <c r="M14" s="5">
        <v>29000.0</v>
      </c>
      <c r="N14" s="4" t="s">
        <v>53</v>
      </c>
      <c r="O14" s="4" t="s">
        <v>54</v>
      </c>
    </row>
    <row r="15" ht="15.75" customHeight="1">
      <c r="A15" s="4" t="s">
        <v>21</v>
      </c>
      <c r="B15" s="4" t="s">
        <v>22</v>
      </c>
      <c r="C15" s="4" t="s">
        <v>23</v>
      </c>
      <c r="D15" s="5">
        <v>42000.0</v>
      </c>
      <c r="E15" s="5">
        <v>30000.0</v>
      </c>
      <c r="F15" s="5">
        <v>12000.0</v>
      </c>
      <c r="G15" s="5">
        <v>50000.0</v>
      </c>
      <c r="H15" s="5">
        <v>35000.0</v>
      </c>
      <c r="I15" s="5">
        <v>15000.0</v>
      </c>
      <c r="J15" s="6">
        <v>45359.0</v>
      </c>
      <c r="K15" s="4" t="s">
        <v>18</v>
      </c>
      <c r="L15" s="7">
        <v>24000.0</v>
      </c>
      <c r="M15" s="5">
        <v>26000.0</v>
      </c>
      <c r="N15" s="4" t="s">
        <v>55</v>
      </c>
      <c r="O15" s="4" t="s">
        <v>54</v>
      </c>
    </row>
    <row r="16" ht="15.75" customHeight="1">
      <c r="A16" s="4" t="s">
        <v>25</v>
      </c>
      <c r="B16" s="4" t="s">
        <v>26</v>
      </c>
      <c r="C16" s="4" t="s">
        <v>27</v>
      </c>
      <c r="D16" s="5">
        <v>50000.0</v>
      </c>
      <c r="E16" s="5">
        <v>43000.0</v>
      </c>
      <c r="F16" s="5">
        <v>17000.0</v>
      </c>
      <c r="G16" s="5">
        <v>68000.0</v>
      </c>
      <c r="H16" s="5">
        <v>47000.0</v>
      </c>
      <c r="I16" s="5">
        <v>21000.0</v>
      </c>
      <c r="J16" s="6">
        <v>45363.0</v>
      </c>
      <c r="K16" s="4" t="s">
        <v>28</v>
      </c>
      <c r="L16" s="7">
        <v>30000.0</v>
      </c>
      <c r="M16" s="5">
        <v>33000.0</v>
      </c>
      <c r="N16" s="4" t="s">
        <v>56</v>
      </c>
      <c r="O16" s="4" t="s">
        <v>54</v>
      </c>
    </row>
    <row r="17" ht="15.75" customHeight="1">
      <c r="A17" s="4" t="s">
        <v>30</v>
      </c>
      <c r="B17" s="4" t="s">
        <v>31</v>
      </c>
      <c r="C17" s="4" t="s">
        <v>32</v>
      </c>
      <c r="D17" s="7">
        <v>56000.0</v>
      </c>
      <c r="E17" s="5">
        <v>40000.0</v>
      </c>
      <c r="F17" s="5">
        <v>16000.0</v>
      </c>
      <c r="G17" s="5">
        <v>63000.0</v>
      </c>
      <c r="H17" s="5">
        <v>44000.0</v>
      </c>
      <c r="I17" s="5">
        <v>19000.0</v>
      </c>
      <c r="J17" s="6">
        <v>45366.0</v>
      </c>
      <c r="K17" s="4" t="s">
        <v>28</v>
      </c>
      <c r="L17" s="7">
        <v>26000.0</v>
      </c>
      <c r="M17" s="7">
        <v>32000.0</v>
      </c>
      <c r="N17" s="4" t="s">
        <v>57</v>
      </c>
      <c r="O17" s="4" t="s">
        <v>54</v>
      </c>
    </row>
    <row r="18" ht="15.75" customHeight="1">
      <c r="A18" s="4" t="s">
        <v>34</v>
      </c>
      <c r="B18" s="4" t="s">
        <v>35</v>
      </c>
      <c r="C18" s="4" t="s">
        <v>36</v>
      </c>
      <c r="D18" s="7">
        <v>68000.0</v>
      </c>
      <c r="E18" s="5">
        <v>56000.0</v>
      </c>
      <c r="F18" s="5">
        <v>22000.0</v>
      </c>
      <c r="G18" s="5">
        <v>89000.0</v>
      </c>
      <c r="H18" s="5">
        <v>63000.0</v>
      </c>
      <c r="I18" s="5">
        <v>26000.0</v>
      </c>
      <c r="J18" s="6">
        <v>45371.0</v>
      </c>
      <c r="K18" s="4" t="s">
        <v>37</v>
      </c>
      <c r="L18" s="7">
        <v>47000.0</v>
      </c>
      <c r="M18" s="7">
        <v>42000.0</v>
      </c>
      <c r="N18" s="4" t="s">
        <v>58</v>
      </c>
      <c r="O18" s="4" t="s">
        <v>54</v>
      </c>
    </row>
    <row r="19" ht="15.75" customHeight="1">
      <c r="A19" s="4" t="s">
        <v>39</v>
      </c>
      <c r="B19" s="4" t="s">
        <v>40</v>
      </c>
      <c r="C19" s="4" t="s">
        <v>41</v>
      </c>
      <c r="D19" s="7">
        <v>62000.0</v>
      </c>
      <c r="E19" s="5">
        <v>52000.0</v>
      </c>
      <c r="F19" s="5">
        <v>20000.0</v>
      </c>
      <c r="G19" s="5">
        <v>81000.0</v>
      </c>
      <c r="H19" s="5">
        <v>58000.0</v>
      </c>
      <c r="I19" s="5">
        <v>23000.0</v>
      </c>
      <c r="J19" s="6">
        <v>45376.0</v>
      </c>
      <c r="K19" s="4" t="s">
        <v>37</v>
      </c>
      <c r="L19" s="7">
        <v>37000.0</v>
      </c>
      <c r="M19" s="7">
        <v>38000.0</v>
      </c>
      <c r="N19" s="4" t="s">
        <v>59</v>
      </c>
      <c r="O19" s="4" t="s">
        <v>54</v>
      </c>
    </row>
    <row r="20" ht="15.75" customHeight="1">
      <c r="A20" s="4" t="s">
        <v>15</v>
      </c>
      <c r="B20" s="4" t="s">
        <v>16</v>
      </c>
      <c r="C20" s="4" t="s">
        <v>17</v>
      </c>
      <c r="D20" s="7">
        <v>60000.0</v>
      </c>
      <c r="E20" s="5">
        <v>43000.0</v>
      </c>
      <c r="F20" s="5">
        <v>17000.0</v>
      </c>
      <c r="G20" s="5">
        <v>67000.0</v>
      </c>
      <c r="H20" s="5">
        <v>47000.0</v>
      </c>
      <c r="I20" s="5">
        <v>20000.0</v>
      </c>
      <c r="J20" s="6">
        <v>45387.0</v>
      </c>
      <c r="K20" s="4" t="s">
        <v>18</v>
      </c>
      <c r="L20" s="5">
        <v>26000.0</v>
      </c>
      <c r="M20" s="7">
        <v>15000.0</v>
      </c>
      <c r="N20" s="4" t="s">
        <v>47</v>
      </c>
      <c r="O20" s="4" t="s">
        <v>60</v>
      </c>
    </row>
    <row r="21" ht="15.75" customHeight="1">
      <c r="A21" s="4" t="s">
        <v>21</v>
      </c>
      <c r="B21" s="4" t="s">
        <v>22</v>
      </c>
      <c r="C21" s="4" t="s">
        <v>23</v>
      </c>
      <c r="D21" s="7">
        <v>39000.0</v>
      </c>
      <c r="E21" s="5">
        <v>28000.0</v>
      </c>
      <c r="F21" s="5">
        <v>11000.0</v>
      </c>
      <c r="G21" s="5">
        <v>47000.0</v>
      </c>
      <c r="H21" s="5">
        <v>33000.0</v>
      </c>
      <c r="I21" s="5">
        <v>14000.0</v>
      </c>
      <c r="J21" s="6">
        <v>45391.0</v>
      </c>
      <c r="K21" s="4" t="s">
        <v>18</v>
      </c>
      <c r="L21" s="5">
        <v>24000.0</v>
      </c>
      <c r="M21" s="7">
        <v>24000.0</v>
      </c>
      <c r="N21" s="4" t="s">
        <v>61</v>
      </c>
      <c r="O21" s="4" t="s">
        <v>60</v>
      </c>
    </row>
    <row r="22" ht="15.75" customHeight="1">
      <c r="A22" s="4" t="s">
        <v>25</v>
      </c>
      <c r="B22" s="4" t="s">
        <v>26</v>
      </c>
      <c r="C22" s="4" t="s">
        <v>27</v>
      </c>
      <c r="D22" s="7">
        <v>48000.0</v>
      </c>
      <c r="E22" s="5">
        <v>42000.0</v>
      </c>
      <c r="F22" s="5">
        <v>16000.0</v>
      </c>
      <c r="G22" s="5">
        <v>64000.0</v>
      </c>
      <c r="H22" s="5">
        <v>45000.0</v>
      </c>
      <c r="I22" s="5">
        <v>19000.0</v>
      </c>
      <c r="J22" s="6">
        <v>45394.0</v>
      </c>
      <c r="K22" s="4" t="s">
        <v>28</v>
      </c>
      <c r="L22" s="5">
        <v>35000.0</v>
      </c>
      <c r="M22" s="7">
        <v>10000.0</v>
      </c>
      <c r="N22" s="4" t="s">
        <v>62</v>
      </c>
      <c r="O22" s="4" t="s">
        <v>60</v>
      </c>
    </row>
    <row r="23" ht="15.75" customHeight="1">
      <c r="A23" s="4" t="s">
        <v>30</v>
      </c>
      <c r="B23" s="4" t="s">
        <v>31</v>
      </c>
      <c r="C23" s="4" t="s">
        <v>32</v>
      </c>
      <c r="D23" s="7">
        <v>35000.0</v>
      </c>
      <c r="E23" s="5">
        <v>32000.0</v>
      </c>
      <c r="F23" s="5">
        <v>13000.0</v>
      </c>
      <c r="G23" s="5">
        <v>52000.0</v>
      </c>
      <c r="H23" s="5">
        <v>37000.0</v>
      </c>
      <c r="I23" s="5">
        <v>15000.0</v>
      </c>
      <c r="J23" s="6">
        <v>45397.0</v>
      </c>
      <c r="K23" s="4" t="s">
        <v>28</v>
      </c>
      <c r="L23" s="7">
        <v>31000.0</v>
      </c>
      <c r="M23" s="7">
        <v>26000.0</v>
      </c>
      <c r="N23" s="4" t="s">
        <v>63</v>
      </c>
      <c r="O23" s="4" t="s">
        <v>60</v>
      </c>
    </row>
    <row r="24" ht="15.75" customHeight="1">
      <c r="A24" s="4" t="s">
        <v>34</v>
      </c>
      <c r="B24" s="4" t="s">
        <v>35</v>
      </c>
      <c r="C24" s="4" t="s">
        <v>36</v>
      </c>
      <c r="D24" s="7">
        <v>71000.0</v>
      </c>
      <c r="E24" s="5">
        <v>65000.0</v>
      </c>
      <c r="F24" s="5">
        <v>26000.0</v>
      </c>
      <c r="G24" s="5">
        <v>105000.0</v>
      </c>
      <c r="H24" s="5">
        <v>74000.0</v>
      </c>
      <c r="I24" s="5">
        <v>31000.0</v>
      </c>
      <c r="J24" s="6">
        <v>45402.0</v>
      </c>
      <c r="K24" s="4" t="s">
        <v>37</v>
      </c>
      <c r="L24" s="7">
        <v>47000.0</v>
      </c>
      <c r="M24" s="7">
        <v>17000.0</v>
      </c>
      <c r="N24" s="4" t="s">
        <v>24</v>
      </c>
      <c r="O24" s="4" t="s">
        <v>60</v>
      </c>
    </row>
    <row r="25" ht="15.75" customHeight="1">
      <c r="A25" s="4" t="s">
        <v>39</v>
      </c>
      <c r="B25" s="4" t="s">
        <v>40</v>
      </c>
      <c r="C25" s="4" t="s">
        <v>41</v>
      </c>
      <c r="D25" s="7">
        <v>67000.0</v>
      </c>
      <c r="E25" s="5">
        <v>48000.0</v>
      </c>
      <c r="F25" s="5">
        <v>19000.0</v>
      </c>
      <c r="G25" s="5">
        <v>76000.0</v>
      </c>
      <c r="H25" s="5">
        <v>54000.0</v>
      </c>
      <c r="I25" s="5">
        <v>22000.0</v>
      </c>
      <c r="J25" s="6">
        <v>45407.0</v>
      </c>
      <c r="K25" s="4" t="s">
        <v>37</v>
      </c>
      <c r="L25" s="7">
        <v>43000.0</v>
      </c>
      <c r="M25" s="7">
        <v>17000.0</v>
      </c>
      <c r="N25" s="4" t="s">
        <v>29</v>
      </c>
      <c r="O25" s="4" t="s">
        <v>60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N$1:$N$1000"/>
  <customSheetViews>
    <customSheetView guid="{09784CDA-B900-42DF-90B5-92EC8C9074D5}" filter="1" showAutoFilter="1">
      <autoFilter ref="$A$1:$O$25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</sheetData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>
      <c r="A1" s="10" t="s">
        <v>68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11"/>
      <c r="C7" s="11"/>
      <c r="D7" s="11"/>
      <c r="E7" s="11"/>
      <c r="F7" s="11"/>
      <c r="G7" s="12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3" t="s">
        <v>69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3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2">
    <mergeCell ref="A1:N3"/>
    <mergeCell ref="G7:I7"/>
  </mergeCells>
  <drawing r:id="rId1"/>
</worksheet>
</file>